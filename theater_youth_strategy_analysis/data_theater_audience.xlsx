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henike\Desktop\Театр_Средний возраст зрителей_проект\"/>
    </mc:Choice>
  </mc:AlternateContent>
  <xr:revisionPtr revIDLastSave="0" documentId="13_ncr:1_{FBC57A85-6E1F-4C13-B23B-E82EE0C6AA68}" xr6:coauthVersionLast="47" xr6:coauthVersionMax="47" xr10:uidLastSave="{00000000-0000-0000-0000-000000000000}"/>
  <bookViews>
    <workbookView xWindow="-108" yWindow="-108" windowWidth="23256" windowHeight="12456" xr2:uid="{70DEE4AB-9CE1-4742-BDE9-B2ED53E2D9DD}"/>
  </bookViews>
  <sheets>
    <sheet name="Лист1" sheetId="1" r:id="rId1"/>
  </sheets>
  <definedNames>
    <definedName name="_xlchart.v1.0" hidden="1">Лист1!$L$5:$L$7</definedName>
    <definedName name="_xlchart.v1.1" hidden="1">Лист1!$M$4</definedName>
    <definedName name="_xlchart.v1.2" hidden="1">Лист1!$M$5:$M$7</definedName>
    <definedName name="_xlchart.v1.3" hidden="1">Лист1!$N$4</definedName>
    <definedName name="_xlchart.v1.4" hidden="1">Лист1!$N$5:$N$7</definedName>
    <definedName name="_xlchart.v1.5" hidden="1">Лист1!$L$5:$L$7</definedName>
    <definedName name="_xlchart.v1.6" hidden="1">Лист1!$M$4</definedName>
    <definedName name="_xlchart.v1.7" hidden="1">Лист1!$M$5:$M$7</definedName>
    <definedName name="_xlchart.v1.8" hidden="1">Лист1!$N$4</definedName>
    <definedName name="_xlchart.v1.9" hidden="1">Лист1!$N$5:$N$7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M8" i="1"/>
  <c r="O6" i="1" s="1"/>
  <c r="Q7" i="1"/>
  <c r="P7" i="1"/>
  <c r="O7" i="1"/>
  <c r="Q6" i="1"/>
  <c r="P6" i="1"/>
  <c r="Q5" i="1"/>
  <c r="P5" i="1"/>
  <c r="I5" i="1"/>
  <c r="I7" i="1"/>
  <c r="I6" i="1"/>
  <c r="F7" i="1"/>
  <c r="E8" i="1"/>
  <c r="H5" i="1" s="1"/>
  <c r="C8" i="1"/>
  <c r="F6" i="1" s="1"/>
  <c r="O5" i="1" l="1"/>
  <c r="O8" i="1" s="1"/>
  <c r="P8" i="1"/>
  <c r="H7" i="1"/>
  <c r="H6" i="1"/>
  <c r="F5" i="1"/>
  <c r="C28" i="1" s="1"/>
  <c r="E28" i="1" l="1"/>
  <c r="F8" i="1"/>
  <c r="E21" i="1"/>
  <c r="C14" i="1" s="1"/>
  <c r="D21" i="1"/>
  <c r="C13" i="1" s="1"/>
  <c r="E13" i="1"/>
  <c r="F13" i="1" s="1"/>
  <c r="E15" i="1"/>
  <c r="E14" i="1"/>
  <c r="F14" i="1" s="1"/>
  <c r="H8" i="1"/>
  <c r="E12" i="1"/>
  <c r="F21" i="1"/>
  <c r="C15" i="1" s="1"/>
  <c r="C21" i="1"/>
  <c r="C12" i="1" s="1"/>
  <c r="F12" i="1" l="1"/>
  <c r="F15" i="1"/>
</calcChain>
</file>

<file path=xl/sharedStrings.xml><?xml version="1.0" encoding="utf-8"?>
<sst xmlns="http://schemas.openxmlformats.org/spreadsheetml/2006/main" count="41" uniqueCount="21">
  <si>
    <t xml:space="preserve">драма </t>
  </si>
  <si>
    <t xml:space="preserve">комедия </t>
  </si>
  <si>
    <t xml:space="preserve">мюзикл </t>
  </si>
  <si>
    <t>%</t>
  </si>
  <si>
    <t>2024 год</t>
  </si>
  <si>
    <t xml:space="preserve">2026 год </t>
  </si>
  <si>
    <t xml:space="preserve"> Жанр</t>
  </si>
  <si>
    <t xml:space="preserve"> (лет) 18 30 лет</t>
  </si>
  <si>
    <t xml:space="preserve"> (%) 31 45 лет</t>
  </si>
  <si>
    <t xml:space="preserve"> (%) 46 60 лет</t>
  </si>
  <si>
    <t xml:space="preserve"> (%) 61+ лет (%)</t>
  </si>
  <si>
    <t xml:space="preserve"> драма</t>
  </si>
  <si>
    <t>комедия</t>
  </si>
  <si>
    <t xml:space="preserve"> мюзикл</t>
  </si>
  <si>
    <t xml:space="preserve">соотношение, количество спектаклей  </t>
  </si>
  <si>
    <t xml:space="preserve">Итого: </t>
  </si>
  <si>
    <t xml:space="preserve">Общий </t>
  </si>
  <si>
    <t>Средний возраст</t>
  </si>
  <si>
    <t xml:space="preserve">Доля в общей </t>
  </si>
  <si>
    <t>сокращение на %</t>
  </si>
  <si>
    <t xml:space="preserve">Изменение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</si>
</sst>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2" borderId="0" xfId="1"/>
    <xf numFmtId="1" fontId="1" fillId="2" borderId="0" xfId="1" applyNumberFormat="1"/>
    <xf numFmtId="0" fontId="0" fillId="0" borderId="0" xfId="0" applyNumberFormat="1"/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DC83-7F89-473B-AD2F-2D4BCF9A4EAB}">
  <dimension ref="B3:Q28"/>
  <sheetViews>
    <sheetView tabSelected="1" workbookViewId="0">
      <selection activeCell="L4" sqref="L4:N7"/>
    </sheetView>
  </sheetViews>
  <sheetFormatPr defaultRowHeight="14.4" x14ac:dyDescent="0.3"/>
  <cols>
    <col min="2" max="2" width="12.5546875" customWidth="1"/>
    <col min="3" max="3" width="12.88671875" customWidth="1"/>
    <col min="6" max="6" width="14.21875" customWidth="1"/>
  </cols>
  <sheetData>
    <row r="3" spans="2:17" x14ac:dyDescent="0.3">
      <c r="B3" t="s">
        <v>14</v>
      </c>
      <c r="L3" t="s">
        <v>14</v>
      </c>
    </row>
    <row r="4" spans="2:17" x14ac:dyDescent="0.3">
      <c r="C4" t="s">
        <v>4</v>
      </c>
      <c r="E4" t="s">
        <v>5</v>
      </c>
      <c r="F4" t="s">
        <v>3</v>
      </c>
      <c r="H4" t="s">
        <v>3</v>
      </c>
      <c r="I4" t="s">
        <v>19</v>
      </c>
      <c r="M4" t="s">
        <v>4</v>
      </c>
      <c r="N4" t="s">
        <v>5</v>
      </c>
      <c r="O4" t="s">
        <v>3</v>
      </c>
      <c r="P4" t="s">
        <v>3</v>
      </c>
      <c r="Q4" t="s">
        <v>19</v>
      </c>
    </row>
    <row r="5" spans="2:17" x14ac:dyDescent="0.3">
      <c r="B5" t="s">
        <v>0</v>
      </c>
      <c r="C5">
        <v>144</v>
      </c>
      <c r="D5" s="7"/>
      <c r="E5">
        <v>49</v>
      </c>
      <c r="F5" s="1">
        <f>C5/C8*100</f>
        <v>48</v>
      </c>
      <c r="G5" s="8"/>
      <c r="H5" s="1">
        <f>E5/E8*100</f>
        <v>16.333333333333332</v>
      </c>
      <c r="I5" s="1">
        <f>(E5-C5)*100/C5</f>
        <v>-65.972222222222229</v>
      </c>
      <c r="L5" t="s">
        <v>0</v>
      </c>
      <c r="M5">
        <v>144</v>
      </c>
      <c r="N5">
        <v>49</v>
      </c>
      <c r="O5" s="1">
        <f>M5/M8*100</f>
        <v>48</v>
      </c>
      <c r="P5" s="1">
        <f>N5/N8*100</f>
        <v>16.333333333333332</v>
      </c>
      <c r="Q5" s="1">
        <f>(N5-M5)*100/M5</f>
        <v>-65.972222222222229</v>
      </c>
    </row>
    <row r="6" spans="2:17" x14ac:dyDescent="0.3">
      <c r="B6" t="s">
        <v>1</v>
      </c>
      <c r="C6">
        <v>93</v>
      </c>
      <c r="D6" s="7"/>
      <c r="E6">
        <v>179</v>
      </c>
      <c r="F6" s="1">
        <f>C6/C8*100</f>
        <v>31</v>
      </c>
      <c r="G6" s="8"/>
      <c r="H6" s="1">
        <f>E6/E8*100</f>
        <v>59.666666666666671</v>
      </c>
      <c r="I6" s="1">
        <f>(E6-C6)*100/C6</f>
        <v>92.473118279569889</v>
      </c>
      <c r="L6" t="s">
        <v>1</v>
      </c>
      <c r="M6">
        <v>93</v>
      </c>
      <c r="N6">
        <v>179</v>
      </c>
      <c r="O6" s="1">
        <f>M6/M8*100</f>
        <v>31</v>
      </c>
      <c r="P6" s="1">
        <f>N6/N8*100</f>
        <v>59.666666666666671</v>
      </c>
      <c r="Q6" s="1">
        <f>(N6-M6)*100/M6</f>
        <v>92.473118279569889</v>
      </c>
    </row>
    <row r="7" spans="2:17" x14ac:dyDescent="0.3">
      <c r="B7" t="s">
        <v>2</v>
      </c>
      <c r="C7">
        <v>63</v>
      </c>
      <c r="D7" s="7"/>
      <c r="E7">
        <v>72</v>
      </c>
      <c r="F7" s="1">
        <f>C7/300*100</f>
        <v>21</v>
      </c>
      <c r="G7" s="8"/>
      <c r="H7" s="1">
        <f>E7/E8*100</f>
        <v>24</v>
      </c>
      <c r="I7" s="1">
        <f>(E7-C7)*100/C7</f>
        <v>14.285714285714286</v>
      </c>
      <c r="L7" t="s">
        <v>2</v>
      </c>
      <c r="M7">
        <v>63</v>
      </c>
      <c r="N7">
        <v>72</v>
      </c>
      <c r="O7" s="1">
        <f>M7/300*100</f>
        <v>21</v>
      </c>
      <c r="P7" s="1">
        <f>N7/N8*100</f>
        <v>24</v>
      </c>
      <c r="Q7" s="1">
        <f>(N7-M7)*100/M7</f>
        <v>14.285714285714286</v>
      </c>
    </row>
    <row r="8" spans="2:17" x14ac:dyDescent="0.3">
      <c r="C8">
        <f>SUM(C5:C7)</f>
        <v>300</v>
      </c>
      <c r="D8" s="7"/>
      <c r="E8">
        <f>SUM(E5:E7)</f>
        <v>300</v>
      </c>
      <c r="F8">
        <f>SUM(F5:F7)</f>
        <v>100</v>
      </c>
      <c r="G8" s="7"/>
      <c r="H8">
        <f t="shared" ref="H8" si="0">SUM(H5:H7)</f>
        <v>100</v>
      </c>
      <c r="M8">
        <f>SUM(M5:M7)</f>
        <v>300</v>
      </c>
      <c r="N8">
        <f>SUM(N5:N7)</f>
        <v>300</v>
      </c>
      <c r="O8">
        <f>SUM(O5:O7)</f>
        <v>100</v>
      </c>
      <c r="P8">
        <f t="shared" ref="P8" si="1">SUM(P5:P7)</f>
        <v>100</v>
      </c>
    </row>
    <row r="10" spans="2:17" x14ac:dyDescent="0.3">
      <c r="B10" t="s">
        <v>18</v>
      </c>
    </row>
    <row r="11" spans="2:17" ht="15" thickBot="1" x14ac:dyDescent="0.35">
      <c r="C11" t="s">
        <v>4</v>
      </c>
      <c r="E11" t="s">
        <v>5</v>
      </c>
      <c r="F11" t="s">
        <v>20</v>
      </c>
    </row>
    <row r="12" spans="2:17" ht="31.8" thickBot="1" x14ac:dyDescent="0.35">
      <c r="B12" s="3" t="s">
        <v>7</v>
      </c>
      <c r="C12" s="1">
        <f>C21</f>
        <v>16.12</v>
      </c>
      <c r="D12" s="1"/>
      <c r="E12" s="1">
        <f>(H5*C18+H6*C19+H7*C20)/100</f>
        <v>23.283333333333335</v>
      </c>
      <c r="F12" s="9">
        <f>(E12-C12)/C12*100</f>
        <v>44.437551695616214</v>
      </c>
    </row>
    <row r="13" spans="2:17" ht="31.8" thickBot="1" x14ac:dyDescent="0.35">
      <c r="B13" s="3" t="s">
        <v>8</v>
      </c>
      <c r="C13" s="1">
        <f>D21</f>
        <v>42.43</v>
      </c>
      <c r="D13" s="1"/>
      <c r="E13" s="1">
        <f>(H5*D18+H6*D19+H7*D20)/100</f>
        <v>49.836666666666673</v>
      </c>
      <c r="F13" s="9">
        <f t="shared" ref="F13:F15" si="2">(E13-C13)/C13*100</f>
        <v>17.45620237253517</v>
      </c>
    </row>
    <row r="14" spans="2:17" ht="31.8" thickBot="1" x14ac:dyDescent="0.35">
      <c r="B14" s="3" t="s">
        <v>9</v>
      </c>
      <c r="C14" s="1">
        <f>E21</f>
        <v>30.51</v>
      </c>
      <c r="D14" s="1"/>
      <c r="E14" s="1">
        <f>(H5*E18+H6*E19+H7*E20)/100</f>
        <v>20.826666666666664</v>
      </c>
      <c r="F14" s="9">
        <f>(E14-C14)/C14*100</f>
        <v>-31.738227903419652</v>
      </c>
    </row>
    <row r="15" spans="2:17" ht="31.8" thickBot="1" x14ac:dyDescent="0.35">
      <c r="B15" s="3" t="s">
        <v>10</v>
      </c>
      <c r="C15" s="1">
        <f>F21</f>
        <v>10.94</v>
      </c>
      <c r="D15" s="1"/>
      <c r="E15" s="1">
        <f>(H5*F18+H6*F19+H7*F20)/100</f>
        <v>6.0533333333333337</v>
      </c>
      <c r="F15" s="9">
        <f t="shared" si="2"/>
        <v>-44.667885435709927</v>
      </c>
    </row>
    <row r="16" spans="2:17" ht="15" thickBot="1" x14ac:dyDescent="0.35"/>
    <row r="17" spans="2:6" ht="45" customHeight="1" thickBot="1" x14ac:dyDescent="0.35">
      <c r="B17" s="2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 ht="16.2" thickBot="1" x14ac:dyDescent="0.35">
      <c r="B18" s="4" t="s">
        <v>11</v>
      </c>
      <c r="C18" s="5">
        <v>5</v>
      </c>
      <c r="D18" s="5">
        <v>33</v>
      </c>
      <c r="E18" s="5">
        <v>44</v>
      </c>
      <c r="F18" s="5">
        <v>18</v>
      </c>
    </row>
    <row r="19" spans="2:6" ht="16.2" thickBot="1" x14ac:dyDescent="0.35">
      <c r="B19" s="4" t="s">
        <v>12</v>
      </c>
      <c r="C19" s="5">
        <v>28</v>
      </c>
      <c r="D19" s="5">
        <v>58</v>
      </c>
      <c r="E19" s="5">
        <v>12</v>
      </c>
      <c r="F19" s="5">
        <v>2</v>
      </c>
    </row>
    <row r="20" spans="2:6" ht="16.2" thickBot="1" x14ac:dyDescent="0.35">
      <c r="B20" s="4" t="s">
        <v>13</v>
      </c>
      <c r="C20" s="5">
        <v>24</v>
      </c>
      <c r="D20" s="5">
        <v>41</v>
      </c>
      <c r="E20" s="5">
        <v>27</v>
      </c>
      <c r="F20" s="5">
        <v>8</v>
      </c>
    </row>
    <row r="21" spans="2:6" ht="15.6" x14ac:dyDescent="0.3">
      <c r="B21" s="6" t="s">
        <v>15</v>
      </c>
      <c r="C21">
        <f>((F5*C18)+F6*C19+F7*C20)/100</f>
        <v>16.12</v>
      </c>
      <c r="D21">
        <f>((F5*D18)+F6*D19+F7*D20)/100</f>
        <v>42.43</v>
      </c>
      <c r="E21">
        <f>((F5*E18)+F6*E19+F7*E20)/100</f>
        <v>30.51</v>
      </c>
      <c r="F21">
        <f>((F5*F18)+F6*F19+F7*F20)/100</f>
        <v>10.94</v>
      </c>
    </row>
    <row r="23" spans="2:6" ht="31.8" thickBot="1" x14ac:dyDescent="0.35">
      <c r="B23" s="6" t="s">
        <v>17</v>
      </c>
    </row>
    <row r="24" spans="2:6" ht="16.2" thickBot="1" x14ac:dyDescent="0.35">
      <c r="B24" s="2" t="s">
        <v>6</v>
      </c>
      <c r="C24" s="3">
        <v>2024</v>
      </c>
      <c r="E24">
        <v>2026</v>
      </c>
    </row>
    <row r="25" spans="2:6" ht="16.2" thickBot="1" x14ac:dyDescent="0.35">
      <c r="B25" s="4" t="s">
        <v>11</v>
      </c>
      <c r="C25" s="5">
        <v>50</v>
      </c>
      <c r="D25" s="5"/>
      <c r="E25" s="5">
        <v>50</v>
      </c>
    </row>
    <row r="26" spans="2:6" ht="16.2" thickBot="1" x14ac:dyDescent="0.35">
      <c r="B26" s="4" t="s">
        <v>12</v>
      </c>
      <c r="C26" s="5">
        <v>36</v>
      </c>
      <c r="D26" s="5"/>
      <c r="E26" s="5">
        <v>36</v>
      </c>
    </row>
    <row r="27" spans="2:6" ht="16.2" thickBot="1" x14ac:dyDescent="0.35">
      <c r="B27" s="4" t="s">
        <v>13</v>
      </c>
      <c r="C27" s="5">
        <v>41</v>
      </c>
      <c r="D27" s="5"/>
      <c r="E27" s="5">
        <v>41</v>
      </c>
    </row>
    <row r="28" spans="2:6" ht="15.6" x14ac:dyDescent="0.3">
      <c r="B28" s="6" t="s">
        <v>16</v>
      </c>
      <c r="C28" s="1">
        <f>(F5*C25+F6*C26+F7*C27)/100</f>
        <v>43.77</v>
      </c>
      <c r="D28" s="1"/>
      <c r="E28" s="1">
        <f>(H5*E25+H6*E26+H7*E27)/100</f>
        <v>39.486666666666665</v>
      </c>
    </row>
  </sheetData>
  <pageMargins left="0.7" right="0.7" top="0.75" bottom="0.75" header="0.3" footer="0.3"/>
  <pageSetup paperSize="9" orientation="portrait" r:id="rId1"/>
  <ignoredErrors>
    <ignoredError sqref="C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mashenike</dc:creator>
  <cp:lastModifiedBy>mashenike</cp:lastModifiedBy>
  <dcterms:created xsi:type="dcterms:W3CDTF">2026-01-25T12:01:46Z</dcterms:created>
  <dcterms:modified xsi:type="dcterms:W3CDTF">2026-01-25T16:03:07Z</dcterms:modified>
</cp:coreProperties>
</file>